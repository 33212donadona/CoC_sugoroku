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filterPrivacy="1" codeName="ThisWorkbook"/>
  <xr:revisionPtr revIDLastSave="0" documentId="13_ncr:1_{0A679933-FF58-45F1-8CA8-6DD2371FA96F}" xr6:coauthVersionLast="47" xr6:coauthVersionMax="47" xr10:uidLastSave="{00000000-0000-0000-0000-000000000000}"/>
  <bookViews>
    <workbookView xWindow="3030" yWindow="1905" windowWidth="25560" windowHeight="11385" activeTab="1" xr2:uid="{00000000-000D-0000-FFFF-FFFF00000000}"/>
  </bookViews>
  <sheets>
    <sheet name="charactor_list" sheetId="1" r:id="rId1"/>
    <sheet name="skill" sheetId="5" r:id="rId2"/>
    <sheet name="job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3" i="1"/>
  <c r="B3" i="1"/>
  <c r="B6" i="1"/>
  <c r="B5" i="1"/>
  <c r="B8" i="1"/>
  <c r="B7" i="1"/>
  <c r="B9" i="1"/>
  <c r="B10" i="1"/>
  <c r="B4" i="1"/>
</calcChain>
</file>

<file path=xl/sharedStrings.xml><?xml version="1.0" encoding="utf-8"?>
<sst xmlns="http://schemas.openxmlformats.org/spreadsheetml/2006/main" count="28" uniqueCount="28">
  <si>
    <t>ATTACKER</t>
    <phoneticPr fontId="6"/>
  </si>
  <si>
    <t>SUPPORTER</t>
    <phoneticPr fontId="6"/>
  </si>
  <si>
    <t>TANKER</t>
    <phoneticPr fontId="6"/>
  </si>
  <si>
    <t>HEALER</t>
    <phoneticPr fontId="6"/>
  </si>
  <si>
    <t>職業ID</t>
    <rPh sb="0" eb="2">
      <t>ショクギョウ</t>
    </rPh>
    <phoneticPr fontId="6"/>
  </si>
  <si>
    <t>職業名</t>
    <rPh sb="0" eb="2">
      <t>ショクギョウ</t>
    </rPh>
    <phoneticPr fontId="6"/>
  </si>
  <si>
    <t>DEX</t>
    <phoneticPr fontId="6"/>
  </si>
  <si>
    <t>STR</t>
    <phoneticPr fontId="6"/>
  </si>
  <si>
    <t>HP</t>
    <phoneticPr fontId="6"/>
  </si>
  <si>
    <t>画像パス</t>
    <rPh sb="0" eb="2">
      <t>ガゾウ</t>
    </rPh>
    <phoneticPr fontId="6"/>
  </si>
  <si>
    <t>data\\character\\アタッカー_軍人.png</t>
    <phoneticPr fontId="6"/>
  </si>
  <si>
    <t>data\\character\\アタッカー_警官.png</t>
    <phoneticPr fontId="6"/>
  </si>
  <si>
    <t>data\\character\\サポーター_DQN.png</t>
    <phoneticPr fontId="6"/>
  </si>
  <si>
    <t>data\\character\\サポーター_音楽家.png</t>
    <phoneticPr fontId="6"/>
  </si>
  <si>
    <t>data\\character\\タンカー_ボディビルダー.png</t>
    <phoneticPr fontId="6"/>
  </si>
  <si>
    <t>data\\character\\タンカー_力士.png</t>
    <phoneticPr fontId="6"/>
  </si>
  <si>
    <t>data\\character\\ヒーラー_医師.png</t>
    <phoneticPr fontId="6"/>
  </si>
  <si>
    <t>data\\character\\ヒーラー_薬師.png</t>
    <phoneticPr fontId="6"/>
  </si>
  <si>
    <t>発砲</t>
  </si>
  <si>
    <t>喝</t>
  </si>
  <si>
    <t>鋼の筋肉</t>
  </si>
  <si>
    <t>しこふみ</t>
  </si>
  <si>
    <t>奮闘のフィナーレ</t>
  </si>
  <si>
    <t>いちゃもん</t>
  </si>
  <si>
    <t>緊急オペ</t>
  </si>
  <si>
    <t>調薬</t>
  </si>
  <si>
    <t>スキルID</t>
    <phoneticPr fontId="6"/>
  </si>
  <si>
    <t>スキル名</t>
    <rPh sb="3" eb="4">
      <t>メイ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</si>
</sst>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22"/>
      <color rgb="FF000000"/>
      <name val="Yu Gothic"/>
      <family val="3"/>
      <charset val="128"/>
    </font>
    <font>
      <sz val="11"/>
      <color rgb="FF9C0006"/>
      <name val="Yu Gothic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7D1E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</cellStyleXfs>
  <cellXfs count="15">
    <xf numFmtId="0" fontId="0" fillId="0" borderId="0" xfId="0"/>
    <xf numFmtId="0" fontId="7" fillId="2" borderId="0" xfId="1" applyAlignment="1">
      <alignment horizontal="center" vertical="center"/>
    </xf>
    <xf numFmtId="0" fontId="5" fillId="3" borderId="0" xfId="2" applyAlignment="1">
      <alignment horizontal="center" vertical="center"/>
    </xf>
    <xf numFmtId="0" fontId="3" fillId="3" borderId="0" xfId="2" applyFont="1" applyAlignment="1">
      <alignment horizontal="center" vertical="center"/>
    </xf>
    <xf numFmtId="0" fontId="2" fillId="3" borderId="0" xfId="2" applyFont="1" applyAlignment="1">
      <alignment horizontal="center" vertical="center"/>
    </xf>
    <xf numFmtId="0" fontId="2" fillId="5" borderId="0" xfId="2" applyFont="1" applyFill="1" applyAlignment="1">
      <alignment horizontal="center" vertical="center"/>
    </xf>
    <xf numFmtId="0" fontId="9" fillId="4" borderId="1" xfId="3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" fillId="5" borderId="0" xfId="2" applyFont="1" applyFill="1" applyAlignment="1">
      <alignment horizontal="center" vertical="center" wrapText="1"/>
    </xf>
    <xf numFmtId="0" fontId="4" fillId="5" borderId="0" xfId="2" applyFont="1" applyFill="1" applyAlignment="1">
      <alignment horizontal="center" vertical="center" wrapText="1"/>
    </xf>
    <xf numFmtId="0" fontId="7" fillId="2" borderId="0" xfId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4">
    <cellStyle name="60% - アクセント 2" xfId="2" builtinId="36"/>
    <cellStyle name="悪い" xfId="3" builtinId="27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F7D1E2"/>
      <color rgb="FFFF9087"/>
      <color rgb="FFFFC9DB"/>
      <color rgb="FFFF93B7"/>
      <color rgb="FFFF6699"/>
      <color rgb="FFFF7C80"/>
      <color rgb="FFFF99CC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22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workbookViewId="0">
      <pane ySplit="2" topLeftCell="A3" activePane="bottomLeft" state="frozen"/>
      <selection pane="bottomLeft" activeCell="C15" sqref="C15"/>
    </sheetView>
  </sheetViews>
  <sheetFormatPr defaultRowHeight="18.75"/>
  <cols>
    <col min="2" max="2" width="12.875" bestFit="1" customWidth="1"/>
    <col min="3" max="3" width="46.75" bestFit="1" customWidth="1"/>
    <col min="4" max="4" width="8.875" customWidth="1"/>
    <col min="5" max="5" width="17.25" bestFit="1" customWidth="1"/>
    <col min="6" max="6" width="4.125" bestFit="1" customWidth="1"/>
    <col min="7" max="7" width="5" bestFit="1" customWidth="1"/>
    <col min="8" max="8" width="5.25" bestFit="1" customWidth="1"/>
  </cols>
  <sheetData>
    <row r="1" spans="1:8">
      <c r="A1" s="14" t="s">
        <v>4</v>
      </c>
      <c r="B1" s="11" t="s">
        <v>5</v>
      </c>
      <c r="C1" s="13" t="s">
        <v>9</v>
      </c>
      <c r="D1" s="10" t="s">
        <v>26</v>
      </c>
      <c r="E1" s="10" t="s">
        <v>27</v>
      </c>
      <c r="F1" s="9" t="s">
        <v>8</v>
      </c>
      <c r="G1" s="9" t="s">
        <v>7</v>
      </c>
      <c r="H1" s="9" t="s">
        <v>6</v>
      </c>
    </row>
    <row r="2" spans="1:8">
      <c r="A2" s="14"/>
      <c r="B2" s="12"/>
      <c r="C2" s="13"/>
      <c r="D2" s="10"/>
      <c r="E2" s="10"/>
      <c r="F2" s="9"/>
      <c r="G2" s="9"/>
      <c r="H2" s="9"/>
    </row>
    <row r="3" spans="1:8">
      <c r="A3" s="4">
        <v>0</v>
      </c>
      <c r="B3" s="5" t="str">
        <f>IFERROR(LOOKUP(A3,job!$A$1:$A$4,job!$B$1:$B$4),"")</f>
        <v>ATTACKER</v>
      </c>
      <c r="C3" s="1" t="s">
        <v>11</v>
      </c>
      <c r="D3" s="8">
        <v>0</v>
      </c>
      <c r="E3" s="8" t="str">
        <f>IFERROR(LOOKUP(D3,skill!$A$1:$A$8,skill!$B$1:$B$8),"")</f>
        <v>発砲</v>
      </c>
      <c r="F3" s="7">
        <v>6</v>
      </c>
      <c r="G3" s="7">
        <v>9</v>
      </c>
      <c r="H3" s="7">
        <v>5</v>
      </c>
    </row>
    <row r="4" spans="1:8">
      <c r="A4" s="4">
        <v>0</v>
      </c>
      <c r="B4" s="5" t="str">
        <f>IFERROR(LOOKUP(A4,job!$A$1:$A$4,job!$B$1:$B$4),"")</f>
        <v>ATTACKER</v>
      </c>
      <c r="C4" s="1" t="s">
        <v>10</v>
      </c>
      <c r="D4" s="8">
        <v>1</v>
      </c>
      <c r="E4" s="8" t="str">
        <f>IFERROR(LOOKUP(D4,skill!$A$1:$A$8,skill!$B$1:$B$8),"")</f>
        <v>喝</v>
      </c>
      <c r="F4" s="7">
        <v>7</v>
      </c>
      <c r="G4" s="7">
        <v>8</v>
      </c>
      <c r="H4" s="7">
        <v>4</v>
      </c>
    </row>
    <row r="5" spans="1:8">
      <c r="A5" s="2">
        <v>1</v>
      </c>
      <c r="B5" s="5" t="str">
        <f>IFERROR(LOOKUP(A5,job!$A$1:$A$4,job!$B$1:$B$4),"")</f>
        <v>TANKER</v>
      </c>
      <c r="C5" s="1" t="s">
        <v>14</v>
      </c>
      <c r="D5" s="8">
        <v>2</v>
      </c>
      <c r="E5" s="8" t="str">
        <f>IFERROR(LOOKUP(D5,skill!$A$1:$A$8,skill!$B$1:$B$8),"")</f>
        <v>鋼の筋肉</v>
      </c>
      <c r="F5" s="7">
        <v>8</v>
      </c>
      <c r="G5" s="7">
        <v>6</v>
      </c>
      <c r="H5" s="7">
        <v>4</v>
      </c>
    </row>
    <row r="6" spans="1:8">
      <c r="A6" s="2">
        <v>1</v>
      </c>
      <c r="B6" s="5" t="str">
        <f>IFERROR(LOOKUP(A6,job!$A$1:$A$4,job!$B$1:$B$4),"")</f>
        <v>TANKER</v>
      </c>
      <c r="C6" s="1" t="s">
        <v>15</v>
      </c>
      <c r="D6" s="8">
        <v>3</v>
      </c>
      <c r="E6" s="8" t="str">
        <f>IFERROR(LOOKUP(D6,skill!$A$1:$A$8,skill!$B$1:$B$8),"")</f>
        <v>しこふみ</v>
      </c>
      <c r="F6" s="7">
        <v>9</v>
      </c>
      <c r="G6" s="7">
        <v>5</v>
      </c>
      <c r="H6" s="7">
        <v>3</v>
      </c>
    </row>
    <row r="7" spans="1:8">
      <c r="A7" s="3">
        <v>2</v>
      </c>
      <c r="B7" s="5" t="str">
        <f>IFERROR(LOOKUP(A7,job!$A$1:$A$4,job!$B$1:$B$4),"")</f>
        <v>SUPPORTER</v>
      </c>
      <c r="C7" s="1" t="s">
        <v>12</v>
      </c>
      <c r="D7" s="8">
        <v>4</v>
      </c>
      <c r="E7" s="8" t="str">
        <f>IFERROR(LOOKUP(D7,skill!$A$1:$A$8,skill!$B$1:$B$8),"")</f>
        <v>奮闘のフィナーレ</v>
      </c>
      <c r="F7" s="7">
        <v>5</v>
      </c>
      <c r="G7" s="7">
        <v>4</v>
      </c>
      <c r="H7" s="7">
        <v>7</v>
      </c>
    </row>
    <row r="8" spans="1:8">
      <c r="A8" s="2">
        <v>2</v>
      </c>
      <c r="B8" s="5" t="str">
        <f>IFERROR(LOOKUP(A8,job!$A$1:$A$4,job!$B$1:$B$4),"")</f>
        <v>SUPPORTER</v>
      </c>
      <c r="C8" s="1" t="s">
        <v>13</v>
      </c>
      <c r="D8" s="8">
        <v>5</v>
      </c>
      <c r="E8" s="8" t="str">
        <f>IFERROR(LOOKUP(D8,skill!$A$1:$A$8,skill!$B$1:$B$8),"")</f>
        <v>いちゃもん</v>
      </c>
      <c r="F8" s="7">
        <v>6</v>
      </c>
      <c r="G8" s="7">
        <v>4</v>
      </c>
      <c r="H8" s="7">
        <v>6</v>
      </c>
    </row>
    <row r="9" spans="1:8">
      <c r="A9" s="2">
        <v>3</v>
      </c>
      <c r="B9" s="5" t="str">
        <f>IFERROR(LOOKUP(A9,job!$A$1:$A$4,job!$B$1:$B$4),"")</f>
        <v>HEALER</v>
      </c>
      <c r="C9" s="1" t="s">
        <v>16</v>
      </c>
      <c r="D9" s="8">
        <v>6</v>
      </c>
      <c r="E9" s="8" t="str">
        <f>IFERROR(LOOKUP(D9,skill!$A$1:$A$8,skill!$B$1:$B$8),"")</f>
        <v>緊急オペ</v>
      </c>
      <c r="F9" s="7">
        <v>4</v>
      </c>
      <c r="G9" s="7">
        <v>4</v>
      </c>
      <c r="H9" s="7">
        <v>7</v>
      </c>
    </row>
    <row r="10" spans="1:8">
      <c r="A10" s="2">
        <v>3</v>
      </c>
      <c r="B10" s="5" t="str">
        <f>IFERROR(LOOKUP(A10,job!$A$1:$A$4,job!$B$1:$B$4),"")</f>
        <v>HEALER</v>
      </c>
      <c r="C10" s="1" t="s">
        <v>17</v>
      </c>
      <c r="D10" s="8">
        <v>7</v>
      </c>
      <c r="E10" s="8" t="str">
        <f>IFERROR(LOOKUP(D10,skill!$A$1:$A$8,skill!$B$1:$B$8),"")</f>
        <v>調薬</v>
      </c>
      <c r="F10" s="7">
        <v>5</v>
      </c>
      <c r="G10" s="7">
        <v>3</v>
      </c>
      <c r="H10" s="7">
        <v>9</v>
      </c>
    </row>
  </sheetData>
  <mergeCells count="8">
    <mergeCell ref="A1:A2"/>
    <mergeCell ref="F1:F2"/>
    <mergeCell ref="G1:G2"/>
    <mergeCell ref="H1:H2"/>
    <mergeCell ref="D1:D2"/>
    <mergeCell ref="E1:E2"/>
    <mergeCell ref="B1:B2"/>
    <mergeCell ref="C1:C2"/>
  </mergeCells>
  <phoneticPr fontId="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File_Example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1B526-DE30-401B-8789-1ADD112A3F4D}">
  <dimension ref="A1:B8"/>
  <sheetViews>
    <sheetView tabSelected="1" workbookViewId="0">
      <selection activeCell="B1" sqref="B1:B8"/>
    </sheetView>
  </sheetViews>
  <sheetFormatPr defaultRowHeight="18.75"/>
  <cols>
    <col min="2" max="2" width="17.25" bestFit="1" customWidth="1"/>
  </cols>
  <sheetData>
    <row r="1" spans="1:2">
      <c r="A1" s="6">
        <v>0</v>
      </c>
      <c r="B1" s="6" t="s">
        <v>18</v>
      </c>
    </row>
    <row r="2" spans="1:2">
      <c r="A2" s="6">
        <v>1</v>
      </c>
      <c r="B2" s="6" t="s">
        <v>19</v>
      </c>
    </row>
    <row r="3" spans="1:2">
      <c r="A3" s="6">
        <v>2</v>
      </c>
      <c r="B3" s="6" t="s">
        <v>20</v>
      </c>
    </row>
    <row r="4" spans="1:2">
      <c r="A4" s="6">
        <v>3</v>
      </c>
      <c r="B4" s="6" t="s">
        <v>21</v>
      </c>
    </row>
    <row r="5" spans="1:2">
      <c r="A5" s="6">
        <v>4</v>
      </c>
      <c r="B5" s="6" t="s">
        <v>22</v>
      </c>
    </row>
    <row r="6" spans="1:2">
      <c r="A6" s="6">
        <v>5</v>
      </c>
      <c r="B6" s="6" t="s">
        <v>23</v>
      </c>
    </row>
    <row r="7" spans="1:2">
      <c r="A7" s="6">
        <v>6</v>
      </c>
      <c r="B7" s="6" t="s">
        <v>24</v>
      </c>
    </row>
    <row r="8" spans="1:2">
      <c r="A8" s="6">
        <v>7</v>
      </c>
      <c r="B8" s="6" t="s">
        <v>25</v>
      </c>
    </row>
  </sheetData>
  <phoneticPr fontId="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52048-04EC-4A7D-BEA8-1D4C99E69DA4}">
  <sheetPr codeName="Sheet3"/>
  <dimension ref="A1:B4"/>
  <sheetViews>
    <sheetView workbookViewId="0">
      <selection activeCell="C15" sqref="C15"/>
    </sheetView>
  </sheetViews>
  <sheetFormatPr defaultRowHeight="18.75"/>
  <cols>
    <col min="2" max="2" width="11.25" bestFit="1" customWidth="1"/>
  </cols>
  <sheetData>
    <row r="1" spans="1:2">
      <c r="A1" s="6">
        <v>0</v>
      </c>
      <c r="B1" s="6" t="s">
        <v>0</v>
      </c>
    </row>
    <row r="2" spans="1:2">
      <c r="A2" s="6">
        <v>1</v>
      </c>
      <c r="B2" s="6" t="s">
        <v>2</v>
      </c>
    </row>
    <row r="3" spans="1:2">
      <c r="A3" s="6">
        <v>2</v>
      </c>
      <c r="B3" s="6" t="s">
        <v>1</v>
      </c>
    </row>
    <row r="4" spans="1:2">
      <c r="A4" s="6">
        <v>3</v>
      </c>
      <c r="B4" s="6" t="s">
        <v>3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charactor_list</vt:lpstr>
      <vt:lpstr>skill</vt:lpstr>
      <vt:lpstr>job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2023-05-14T14:31:26Z</dcterms:modified>
</cp:coreProperties>
</file>