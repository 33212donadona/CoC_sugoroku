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filterPrivacy="1" codeName="ThisWorkbook"/>
  <xr:revisionPtr revIDLastSave="0" documentId="13_ncr:1_{D046BD19-B482-46CF-85DB-D3EA11AF4883}" xr6:coauthVersionLast="36" xr6:coauthVersionMax="36" xr10:uidLastSave="{00000000-0000-0000-0000-000000000000}"/>
  <bookViews>
    <workbookView xWindow="0" yWindow="0" windowWidth="28800" windowHeight="12015" xr2:uid="{00000000-000D-0000-FFFF-FFFF00000000}"/>
  </bookViews>
  <sheets>
    <sheet name="ivent_list" sheetId="1" r:id="rId1"/>
    <sheet name="イベントの種類ID" sheetId="3" r:id="rId2"/>
    <sheet name="バフ or デバフ" sheetId="4" r:id="rId3"/>
    <sheet name="単体 or 全体" sheetId="5" r:id="rId4"/>
    <sheet name="影響するステータス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F6" i="1"/>
  <c r="H6" i="1"/>
  <c r="B6" i="1"/>
  <c r="D4" i="1"/>
  <c r="D5" i="1"/>
  <c r="D7" i="1"/>
  <c r="D8" i="1"/>
  <c r="D9" i="1"/>
  <c r="D10" i="1"/>
  <c r="D3" i="1"/>
  <c r="H4" i="1"/>
  <c r="H5" i="1"/>
  <c r="H7" i="1"/>
  <c r="H8" i="1"/>
  <c r="H9" i="1"/>
  <c r="H10" i="1"/>
  <c r="H3" i="1"/>
  <c r="F3" i="1"/>
  <c r="F4" i="1"/>
  <c r="F5" i="1"/>
  <c r="F7" i="1"/>
  <c r="F8" i="1"/>
  <c r="F9" i="1"/>
  <c r="F10" i="1"/>
  <c r="B3" i="1"/>
  <c r="B5" i="1"/>
  <c r="B7" i="1"/>
  <c r="B8" i="1"/>
  <c r="B9" i="1"/>
  <c r="B10" i="1"/>
  <c r="B4" i="1" l="1"/>
</calcChain>
</file>

<file path=xl/sharedStrings.xml><?xml version="1.0" encoding="utf-8"?>
<sst xmlns="http://schemas.openxmlformats.org/spreadsheetml/2006/main" count="31" uniqueCount="28">
  <si>
    <t>イベントの種類ID</t>
    <rPh sb="5" eb="7">
      <t>シュルイ</t>
    </rPh>
    <phoneticPr fontId="2"/>
  </si>
  <si>
    <t>会話</t>
  </si>
  <si>
    <t>アイテム</t>
    <phoneticPr fontId="2"/>
  </si>
  <si>
    <t>役職イベント</t>
  </si>
  <si>
    <t>ステータス参照イベント</t>
  </si>
  <si>
    <t>罠</t>
  </si>
  <si>
    <t>ステータス初期化</t>
  </si>
  <si>
    <t>ラッキーマス</t>
    <phoneticPr fontId="2"/>
  </si>
  <si>
    <t>イベントの種類名</t>
    <rPh sb="5" eb="6">
      <t>タネ</t>
    </rPh>
    <rPh sb="7" eb="8">
      <t>メイ</t>
    </rPh>
    <phoneticPr fontId="2"/>
  </si>
  <si>
    <t>DUMMY</t>
    <phoneticPr fontId="2"/>
  </si>
  <si>
    <t>バフ or デバフ</t>
    <phoneticPr fontId="2"/>
  </si>
  <si>
    <t>単体 or 全体</t>
    <rPh sb="0" eb="2">
      <t>タンタイ</t>
    </rPh>
    <rPh sb="6" eb="8">
      <t>ゼンタイ</t>
    </rPh>
    <phoneticPr fontId="2"/>
  </si>
  <si>
    <t>影響するステータス</t>
    <rPh sb="0" eb="2">
      <t>エイキョウ</t>
    </rPh>
    <phoneticPr fontId="2"/>
  </si>
  <si>
    <t>バフ or デバフID</t>
    <phoneticPr fontId="2"/>
  </si>
  <si>
    <t>単体 or 全体　ID</t>
    <rPh sb="0" eb="2">
      <t>タンタイ</t>
    </rPh>
    <rPh sb="6" eb="8">
      <t>ゼンタイ</t>
    </rPh>
    <phoneticPr fontId="2"/>
  </si>
  <si>
    <t>バフ</t>
    <phoneticPr fontId="2"/>
  </si>
  <si>
    <t>デバフ</t>
    <phoneticPr fontId="2"/>
  </si>
  <si>
    <t>単体</t>
    <rPh sb="0" eb="2">
      <t>タンタイ</t>
    </rPh>
    <phoneticPr fontId="2"/>
  </si>
  <si>
    <t>全体</t>
    <rPh sb="0" eb="2">
      <t>ゼンタイ</t>
    </rPh>
    <phoneticPr fontId="2"/>
  </si>
  <si>
    <t>影響するステータスID</t>
    <rPh sb="0" eb="2">
      <t>エイキョウ</t>
    </rPh>
    <phoneticPr fontId="2"/>
  </si>
  <si>
    <t>HP</t>
    <phoneticPr fontId="2"/>
  </si>
  <si>
    <t>HP&amp;STR</t>
    <phoneticPr fontId="2"/>
  </si>
  <si>
    <t>HP&amp;DEX</t>
    <phoneticPr fontId="2"/>
  </si>
  <si>
    <t>STR</t>
    <phoneticPr fontId="2"/>
  </si>
  <si>
    <t>DEX</t>
    <phoneticPr fontId="2"/>
  </si>
  <si>
    <t>STR&amp;DEX</t>
    <phoneticPr fontId="2"/>
  </si>
  <si>
    <t>HP&amp;STR&amp;DEX</t>
    <phoneticPr fontId="2"/>
  </si>
  <si>
    <t>ランダム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</si>
</sst>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1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3" borderId="4" xfId="2" applyBorder="1" applyAlignment="1">
      <alignment horizontal="center" vertical="center"/>
    </xf>
    <xf numFmtId="0" fontId="1" fillId="3" borderId="2" xfId="2" applyBorder="1" applyAlignment="1">
      <alignment horizontal="center" vertical="center"/>
    </xf>
    <xf numFmtId="0" fontId="1" fillId="4" borderId="2" xfId="3" applyBorder="1" applyAlignment="1">
      <alignment horizontal="center" vertical="center"/>
    </xf>
    <xf numFmtId="0" fontId="1" fillId="4" borderId="2" xfId="3" applyBorder="1" applyAlignment="1">
      <alignment horizontal="center" vertical="center"/>
    </xf>
    <xf numFmtId="0" fontId="3" fillId="2" borderId="5" xfId="1" applyBorder="1" applyAlignment="1">
      <alignment horizontal="center" vertical="center"/>
    </xf>
    <xf numFmtId="0" fontId="3" fillId="2" borderId="6" xfId="1" applyBorder="1" applyAlignment="1">
      <alignment horizontal="center" vertical="center"/>
    </xf>
    <xf numFmtId="0" fontId="3" fillId="2" borderId="7" xfId="1" applyBorder="1" applyAlignment="1">
      <alignment horizontal="center" vertical="center"/>
    </xf>
    <xf numFmtId="0" fontId="3" fillId="2" borderId="8" xfId="1" applyBorder="1" applyAlignment="1">
      <alignment horizontal="center" vertical="center"/>
    </xf>
    <xf numFmtId="0" fontId="3" fillId="2" borderId="9" xfId="1" applyBorder="1" applyAlignment="1">
      <alignment horizontal="center" vertical="center"/>
    </xf>
    <xf numFmtId="0" fontId="3" fillId="2" borderId="10" xfId="1" applyBorder="1" applyAlignment="1">
      <alignment horizontal="center" vertical="center"/>
    </xf>
  </cellXfs>
  <cellStyles count="4">
    <cellStyle name="40% - アクセント 1" xfId="2" builtinId="31"/>
    <cellStyle name="40% - アクセント 2" xfId="3" builtinId="35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676275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workbookViewId="0">
      <pane ySplit="2" topLeftCell="A3" activePane="bottomLeft" state="frozen"/>
      <selection pane="bottomLeft" activeCell="K6" sqref="K6"/>
    </sheetView>
  </sheetViews>
  <sheetFormatPr defaultRowHeight="18.75"/>
  <cols>
    <col min="1" max="1" width="17.125" bestFit="1" customWidth="1"/>
    <col min="2" max="2" width="23.25" bestFit="1" customWidth="1"/>
    <col min="3" max="3" width="23.25" customWidth="1"/>
    <col min="4" max="4" width="17.125" bestFit="1" customWidth="1"/>
    <col min="5" max="5" width="16" bestFit="1" customWidth="1"/>
    <col min="6" max="6" width="11.75" bestFit="1" customWidth="1"/>
    <col min="7" max="7" width="21.375" bestFit="1" customWidth="1"/>
    <col min="8" max="8" width="19.125" bestFit="1" customWidth="1"/>
  </cols>
  <sheetData>
    <row r="1" spans="1:8">
      <c r="A1" s="6" t="s">
        <v>8</v>
      </c>
      <c r="B1" s="5" t="s">
        <v>0</v>
      </c>
      <c r="C1" s="9" t="s">
        <v>13</v>
      </c>
      <c r="D1" s="9" t="s">
        <v>10</v>
      </c>
      <c r="E1" s="9" t="s">
        <v>14</v>
      </c>
      <c r="F1" s="9" t="s">
        <v>11</v>
      </c>
      <c r="G1" s="9" t="s">
        <v>19</v>
      </c>
      <c r="H1" s="9" t="s">
        <v>12</v>
      </c>
    </row>
    <row r="2" spans="1:8">
      <c r="A2" s="7"/>
      <c r="B2" s="5"/>
      <c r="C2" s="9"/>
      <c r="D2" s="9"/>
      <c r="E2" s="9"/>
      <c r="F2" s="9"/>
      <c r="G2" s="9"/>
      <c r="H2" s="9"/>
    </row>
    <row r="3" spans="1:8">
      <c r="A3" s="8">
        <v>1</v>
      </c>
      <c r="B3" s="3" t="str">
        <f>IFERROR(LOOKUP(ivent_list!A3,イベントの種類ID!$A$1:$A$8,イベントの種類ID!$B$1:$B$8),"")</f>
        <v>ラッキーマス</v>
      </c>
      <c r="C3" s="10">
        <v>0</v>
      </c>
      <c r="D3" s="10" t="str">
        <f>IFERROR(LOOKUP(ivent_list!C3,'バフ or デバフ'!$A$1:$A$4,'バフ or デバフ'!$B$1:$B$4),"")</f>
        <v>DUMMY</v>
      </c>
      <c r="E3" s="10">
        <v>0</v>
      </c>
      <c r="F3" s="10" t="str">
        <f>IFERROR(LOOKUP(ivent_list!E3,'単体 or 全体'!$A$1:$A$2,'単体 or 全体'!$B$1:$B$2),"")</f>
        <v>単体</v>
      </c>
      <c r="G3" s="10">
        <v>0</v>
      </c>
      <c r="H3" s="10" t="str">
        <f>IFERROR(LOOKUP(ivent_list!G3,影響するステータス!$A$1:$A$9,影響するステータス!$B$1:$B$9),"")</f>
        <v>DUMMY</v>
      </c>
    </row>
    <row r="4" spans="1:8">
      <c r="A4" s="8">
        <v>2</v>
      </c>
      <c r="B4" s="3" t="str">
        <f>IFERROR(LOOKUP(ivent_list!A4,イベントの種類ID!$A$1:$A$8,イベントの種類ID!$B$1:$B$8),"")</f>
        <v>アイテム</v>
      </c>
      <c r="C4" s="10">
        <v>2</v>
      </c>
      <c r="D4" s="10" t="str">
        <f>IFERROR(LOOKUP(ivent_list!C4,'バフ or デバフ'!$A$1:$A$4,'バフ or デバフ'!$B$1:$B$4),"")</f>
        <v>バフ</v>
      </c>
      <c r="E4" s="10">
        <v>0</v>
      </c>
      <c r="F4" s="10" t="str">
        <f>IFERROR(LOOKUP(ivent_list!E4,'単体 or 全体'!$A$1:$A$2,'単体 or 全体'!$B$1:$B$2),"")</f>
        <v>単体</v>
      </c>
      <c r="G4" s="10">
        <v>0</v>
      </c>
      <c r="H4" s="10" t="str">
        <f>IFERROR(LOOKUP(ivent_list!G4,影響するステータス!$A$1:$A$9,影響するステータス!$B$1:$B$9),"")</f>
        <v>DUMMY</v>
      </c>
    </row>
    <row r="5" spans="1:8">
      <c r="A5" s="8">
        <v>3</v>
      </c>
      <c r="B5" s="4" t="str">
        <f>IFERROR(LOOKUP(ivent_list!A5,イベントの種類ID!$A$1:$A$8,イベントの種類ID!$B$1:$B$8),"")</f>
        <v>役職イベント</v>
      </c>
      <c r="C5" s="10">
        <v>2</v>
      </c>
      <c r="D5" s="10" t="str">
        <f>IFERROR(LOOKUP(ivent_list!C5,'バフ or デバフ'!$A$1:$A$4,'バフ or デバフ'!$B$1:$B$4),"")</f>
        <v>バフ</v>
      </c>
      <c r="E5" s="10">
        <v>0</v>
      </c>
      <c r="F5" s="10" t="str">
        <f>IFERROR(LOOKUP(ivent_list!E5,'単体 or 全体'!$A$1:$A$2,'単体 or 全体'!$B$1:$B$2),"")</f>
        <v>単体</v>
      </c>
      <c r="G5" s="10">
        <v>7</v>
      </c>
      <c r="H5" s="10" t="str">
        <f>IFERROR(LOOKUP(ivent_list!G5,影響するステータス!$A$1:$A$9,影響するステータス!$B$1:$B$9),"")</f>
        <v>HP&amp;STR&amp;DEX</v>
      </c>
    </row>
    <row r="6" spans="1:8">
      <c r="A6" s="8">
        <v>4</v>
      </c>
      <c r="B6" s="4" t="str">
        <f>IFERROR(LOOKUP(ivent_list!A6,イベントの種類ID!$A$1:$A$8,イベントの種類ID!$B$1:$B$8),"")</f>
        <v>ステータス参照イベント</v>
      </c>
      <c r="C6" s="10">
        <v>3</v>
      </c>
      <c r="D6" s="10" t="str">
        <f>IFERROR(LOOKUP(ivent_list!C6,'バフ or デバフ'!$A$1:$A$4,'バフ or デバフ'!$B$1:$B$4),"")</f>
        <v>ランダム</v>
      </c>
      <c r="E6" s="10">
        <v>0</v>
      </c>
      <c r="F6" s="10" t="str">
        <f>IFERROR(LOOKUP(ivent_list!E6,'単体 or 全体'!$A$1:$A$2,'単体 or 全体'!$B$1:$B$2),"")</f>
        <v>単体</v>
      </c>
      <c r="G6" s="10">
        <v>8</v>
      </c>
      <c r="H6" s="10" t="str">
        <f>IFERROR(LOOKUP(ivent_list!G6,影響するステータス!$A$1:$A$9,影響するステータス!$B$1:$B$9),"")</f>
        <v>ランダム</v>
      </c>
    </row>
    <row r="7" spans="1:8">
      <c r="A7" s="8">
        <v>4</v>
      </c>
      <c r="B7" s="4" t="str">
        <f>IFERROR(LOOKUP(ivent_list!A7,イベントの種類ID!$A$1:$A$8,イベントの種類ID!$B$1:$B$8),"")</f>
        <v>ステータス参照イベント</v>
      </c>
      <c r="C7" s="10">
        <v>3</v>
      </c>
      <c r="D7" s="10" t="str">
        <f>IFERROR(LOOKUP(ivent_list!C7,'バフ or デバフ'!$A$1:$A$4,'バフ or デバフ'!$B$1:$B$4),"")</f>
        <v>ランダム</v>
      </c>
      <c r="E7" s="10">
        <v>1</v>
      </c>
      <c r="F7" s="10" t="str">
        <f>IFERROR(LOOKUP(ivent_list!E7,'単体 or 全体'!$A$1:$A$2,'単体 or 全体'!$B$1:$B$2),"")</f>
        <v>全体</v>
      </c>
      <c r="G7" s="10">
        <v>8</v>
      </c>
      <c r="H7" s="10" t="str">
        <f>IFERROR(LOOKUP(ivent_list!G7,影響するステータス!$A$1:$A$9,影響するステータス!$B$1:$B$9),"")</f>
        <v>ランダム</v>
      </c>
    </row>
    <row r="8" spans="1:8">
      <c r="A8" s="8">
        <v>5</v>
      </c>
      <c r="B8" s="4" t="str">
        <f>IFERROR(LOOKUP(ivent_list!A8,イベントの種類ID!$A$1:$A$8,イベントの種類ID!$B$1:$B$8),"")</f>
        <v>会話</v>
      </c>
      <c r="C8" s="10">
        <v>0</v>
      </c>
      <c r="D8" s="10" t="str">
        <f>IFERROR(LOOKUP(ivent_list!C8,'バフ or デバフ'!$A$1:$A$4,'バフ or デバフ'!$B$1:$B$4),"")</f>
        <v>DUMMY</v>
      </c>
      <c r="E8" s="10">
        <v>1</v>
      </c>
      <c r="F8" s="10" t="str">
        <f>IFERROR(LOOKUP(ivent_list!E8,'単体 or 全体'!$A$1:$A$2,'単体 or 全体'!$B$1:$B$2),"")</f>
        <v>全体</v>
      </c>
      <c r="G8" s="10">
        <v>0</v>
      </c>
      <c r="H8" s="10" t="str">
        <f>IFERROR(LOOKUP(ivent_list!G8,影響するステータス!$A$1:$A$9,影響するステータス!$B$1:$B$9),"")</f>
        <v>DUMMY</v>
      </c>
    </row>
    <row r="9" spans="1:8">
      <c r="A9" s="8">
        <v>6</v>
      </c>
      <c r="B9" s="4" t="str">
        <f>IFERROR(LOOKUP(ivent_list!A9,イベントの種類ID!$A$1:$A$8,イベントの種類ID!$B$1:$B$8),"")</f>
        <v>罠</v>
      </c>
      <c r="C9" s="10">
        <v>1</v>
      </c>
      <c r="D9" s="10" t="str">
        <f>IFERROR(LOOKUP(ivent_list!C9,'バフ or デバフ'!$A$1:$A$4,'バフ or デバフ'!$B$1:$B$4),"")</f>
        <v>デバフ</v>
      </c>
      <c r="E9" s="10">
        <v>0</v>
      </c>
      <c r="F9" s="10" t="str">
        <f>IFERROR(LOOKUP(ivent_list!E9,'単体 or 全体'!$A$1:$A$2,'単体 or 全体'!$B$1:$B$2),"")</f>
        <v>単体</v>
      </c>
      <c r="G9" s="10">
        <v>1</v>
      </c>
      <c r="H9" s="10" t="str">
        <f>IFERROR(LOOKUP(ivent_list!G9,影響するステータス!$A$1:$A$9,影響するステータス!$B$1:$B$9),"")</f>
        <v>HP</v>
      </c>
    </row>
    <row r="10" spans="1:8">
      <c r="A10" s="8">
        <v>7</v>
      </c>
      <c r="B10" s="4" t="str">
        <f>IFERROR(LOOKUP(ivent_list!A10,イベントの種類ID!$A$1:$A$8,イベントの種類ID!$B$1:$B$8),"")</f>
        <v>ステータス初期化</v>
      </c>
      <c r="C10" s="10">
        <v>2</v>
      </c>
      <c r="D10" s="10" t="str">
        <f>IFERROR(LOOKUP(ivent_list!C10,'バフ or デバフ'!$A$1:$A$4,'バフ or デバフ'!$B$1:$B$4),"")</f>
        <v>バフ</v>
      </c>
      <c r="E10" s="10">
        <v>0</v>
      </c>
      <c r="F10" s="10" t="str">
        <f>IFERROR(LOOKUP(ivent_list!E10,'単体 or 全体'!$A$1:$A$2,'単体 or 全体'!$B$1:$B$2),"")</f>
        <v>単体</v>
      </c>
      <c r="G10" s="10">
        <v>7</v>
      </c>
      <c r="H10" s="10" t="str">
        <f>IFERROR(LOOKUP(ivent_list!G10,影響するステータス!$A$1:$A$9,影響するステータス!$B$1:$B$9),"")</f>
        <v>HP&amp;STR&amp;DEX</v>
      </c>
    </row>
  </sheetData>
  <mergeCells count="8">
    <mergeCell ref="G1:G2"/>
    <mergeCell ref="H1:H2"/>
    <mergeCell ref="C1:C2"/>
    <mergeCell ref="F1:F2"/>
    <mergeCell ref="A1:A2"/>
    <mergeCell ref="B1:B2"/>
    <mergeCell ref="E1:E2"/>
    <mergeCell ref="D1:D2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676275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8A11-4D1B-4817-B0D3-BF49280E6854}">
  <dimension ref="A1:B9"/>
  <sheetViews>
    <sheetView workbookViewId="0">
      <selection activeCell="B25" sqref="B25"/>
    </sheetView>
  </sheetViews>
  <sheetFormatPr defaultRowHeight="18.75"/>
  <cols>
    <col min="2" max="2" width="23.25" bestFit="1" customWidth="1"/>
  </cols>
  <sheetData>
    <row r="1" spans="1:2" ht="20.25" thickTop="1" thickBot="1">
      <c r="A1" s="1">
        <v>0</v>
      </c>
      <c r="B1" s="1" t="s">
        <v>9</v>
      </c>
    </row>
    <row r="2" spans="1:2" ht="20.25" thickTop="1" thickBot="1">
      <c r="A2" s="1">
        <v>1</v>
      </c>
      <c r="B2" s="2" t="s">
        <v>7</v>
      </c>
    </row>
    <row r="3" spans="1:2" ht="20.25" thickTop="1" thickBot="1">
      <c r="A3" s="1">
        <v>2</v>
      </c>
      <c r="B3" s="1" t="s">
        <v>2</v>
      </c>
    </row>
    <row r="4" spans="1:2" ht="20.25" thickTop="1" thickBot="1">
      <c r="A4" s="1">
        <v>3</v>
      </c>
      <c r="B4" s="2" t="s">
        <v>3</v>
      </c>
    </row>
    <row r="5" spans="1:2" ht="20.25" thickTop="1" thickBot="1">
      <c r="A5" s="1">
        <v>4</v>
      </c>
      <c r="B5" s="2" t="s">
        <v>4</v>
      </c>
    </row>
    <row r="6" spans="1:2" ht="20.25" thickTop="1" thickBot="1">
      <c r="A6" s="1">
        <v>5</v>
      </c>
      <c r="B6" s="2" t="s">
        <v>1</v>
      </c>
    </row>
    <row r="7" spans="1:2" ht="20.25" thickTop="1" thickBot="1">
      <c r="A7" s="1">
        <v>6</v>
      </c>
      <c r="B7" s="2" t="s">
        <v>5</v>
      </c>
    </row>
    <row r="8" spans="1:2" ht="20.25" thickTop="1" thickBot="1">
      <c r="A8" s="1">
        <v>7</v>
      </c>
      <c r="B8" s="2" t="s">
        <v>6</v>
      </c>
    </row>
    <row r="9" spans="1:2" ht="19.5" thickTop="1"/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A997-E865-4A8D-8E9C-71C312C96061}">
  <dimension ref="A1:B4"/>
  <sheetViews>
    <sheetView workbookViewId="0">
      <selection activeCell="C5" sqref="C5"/>
    </sheetView>
  </sheetViews>
  <sheetFormatPr defaultRowHeight="18.75"/>
  <sheetData>
    <row r="1" spans="1:2">
      <c r="A1" s="11">
        <v>0</v>
      </c>
      <c r="B1" s="12" t="s">
        <v>9</v>
      </c>
    </row>
    <row r="2" spans="1:2">
      <c r="A2" s="15">
        <v>1</v>
      </c>
      <c r="B2" s="16" t="s">
        <v>16</v>
      </c>
    </row>
    <row r="3" spans="1:2">
      <c r="A3" s="15">
        <v>2</v>
      </c>
      <c r="B3" s="16" t="s">
        <v>15</v>
      </c>
    </row>
    <row r="4" spans="1:2" ht="19.5" thickBot="1">
      <c r="A4" s="13">
        <v>3</v>
      </c>
      <c r="B4" s="14" t="s">
        <v>27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B390-4D06-4A50-81F9-B96807D789AB}">
  <dimension ref="A1:B2"/>
  <sheetViews>
    <sheetView workbookViewId="0">
      <selection sqref="A1:B2"/>
    </sheetView>
  </sheetViews>
  <sheetFormatPr defaultRowHeight="18.75"/>
  <sheetData>
    <row r="1" spans="1:2">
      <c r="A1" s="11">
        <v>0</v>
      </c>
      <c r="B1" s="12" t="s">
        <v>17</v>
      </c>
    </row>
    <row r="2" spans="1:2" ht="19.5" thickBot="1">
      <c r="A2" s="13">
        <v>1</v>
      </c>
      <c r="B2" s="14" t="s">
        <v>18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910D7-E0D3-4B9D-880E-DBB5ED9E4123}">
  <dimension ref="A1:B9"/>
  <sheetViews>
    <sheetView workbookViewId="0">
      <selection activeCell="D7" sqref="D7"/>
    </sheetView>
  </sheetViews>
  <sheetFormatPr defaultRowHeight="18.75"/>
  <cols>
    <col min="2" max="2" width="30.125" customWidth="1"/>
  </cols>
  <sheetData>
    <row r="1" spans="1:2">
      <c r="A1" s="4">
        <v>0</v>
      </c>
      <c r="B1" s="4" t="s">
        <v>9</v>
      </c>
    </row>
    <row r="2" spans="1:2">
      <c r="A2" s="4">
        <v>1</v>
      </c>
      <c r="B2" s="4" t="s">
        <v>20</v>
      </c>
    </row>
    <row r="3" spans="1:2">
      <c r="A3" s="4">
        <v>2</v>
      </c>
      <c r="B3" s="4" t="s">
        <v>23</v>
      </c>
    </row>
    <row r="4" spans="1:2">
      <c r="A4" s="4">
        <v>3</v>
      </c>
      <c r="B4" s="4" t="s">
        <v>24</v>
      </c>
    </row>
    <row r="5" spans="1:2">
      <c r="A5" s="4">
        <v>4</v>
      </c>
      <c r="B5" s="4" t="s">
        <v>22</v>
      </c>
    </row>
    <row r="6" spans="1:2">
      <c r="A6" s="4">
        <v>5</v>
      </c>
      <c r="B6" s="4" t="s">
        <v>21</v>
      </c>
    </row>
    <row r="7" spans="1:2">
      <c r="A7" s="4">
        <v>6</v>
      </c>
      <c r="B7" s="4" t="s">
        <v>25</v>
      </c>
    </row>
    <row r="8" spans="1:2">
      <c r="A8" s="4">
        <v>7</v>
      </c>
      <c r="B8" s="4" t="s">
        <v>26</v>
      </c>
    </row>
    <row r="9" spans="1:2">
      <c r="A9" s="4">
        <v>8</v>
      </c>
      <c r="B9" s="4" t="s">
        <v>27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ivent_list</vt:lpstr>
      <vt:lpstr>イベントの種類ID</vt:lpstr>
      <vt:lpstr>バフ or デバフ</vt:lpstr>
      <vt:lpstr>単体 or 全体</vt:lpstr>
      <vt:lpstr>影響するステータス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2023-05-22T06:35:48Z</dcterms:modified>
</cp:coreProperties>
</file>