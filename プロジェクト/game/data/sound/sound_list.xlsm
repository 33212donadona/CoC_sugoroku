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filterPrivacy="1" codeName="ThisWorkbook"/>
  <xr:revisionPtr revIDLastSave="0" documentId="13_ncr:1_{192937B1-5469-4D51-9D78-E9190D3AF07C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sound_bgm_list" sheetId="1" r:id="rId1"/>
    <sheet name="bgm" sheetId="3" r:id="rId2"/>
    <sheet name="sound_se_list" sheetId="2" r:id="rId3"/>
    <sheet name="s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3" i="1"/>
  <c r="B4" i="2"/>
  <c r="B5" i="2"/>
  <c r="B6" i="2"/>
  <c r="B7" i="2"/>
  <c r="B8" i="2"/>
  <c r="B9" i="2"/>
  <c r="B10" i="2"/>
  <c r="B11" i="2"/>
  <c r="B12" i="2"/>
  <c r="B3" i="2"/>
</calcChain>
</file>

<file path=xl/sharedStrings.xml><?xml version="1.0" encoding="utf-8"?>
<sst xmlns="http://schemas.openxmlformats.org/spreadsheetml/2006/main" count="44" uniqueCount="32">
  <si>
    <t>ファイルパス</t>
    <phoneticPr fontId="6"/>
  </si>
  <si>
    <t>data\\sound\\Sanpl_Sound.mp3</t>
  </si>
  <si>
    <t>data\\sound\\Sanpl_Sound.mp3</t>
    <phoneticPr fontId="6"/>
  </si>
  <si>
    <t>data\\sound\\</t>
    <phoneticPr fontId="6"/>
  </si>
  <si>
    <t>シーン名</t>
    <phoneticPr fontId="6"/>
  </si>
  <si>
    <t>シーンID</t>
    <phoneticPr fontId="6"/>
  </si>
  <si>
    <t>SoundEffect名</t>
    <rPh sb="11" eb="12">
      <t>メイ</t>
    </rPh>
    <phoneticPr fontId="6"/>
  </si>
  <si>
    <t>SoundEffect番号</t>
    <rPh sb="11" eb="13">
      <t>バンゴウ</t>
    </rPh>
    <phoneticPr fontId="6"/>
  </si>
  <si>
    <t>TITLE_CLICK</t>
  </si>
  <si>
    <t>TITLE_BOTTON_MOVE</t>
  </si>
  <si>
    <t>SELECT_CLICK</t>
  </si>
  <si>
    <t>SELECT_BOTTON_MOVE</t>
  </si>
  <si>
    <t>GAME_CLICK</t>
  </si>
  <si>
    <t>GAME_BOTTON_MOVE</t>
  </si>
  <si>
    <t>GAME_MOVE</t>
  </si>
  <si>
    <t>GAME_ATTACK</t>
  </si>
  <si>
    <t>GAME_SKILL</t>
  </si>
  <si>
    <t>GAME_DICE</t>
  </si>
  <si>
    <t>GAME_SUCCEED</t>
  </si>
  <si>
    <t>GAME_FAILURE</t>
  </si>
  <si>
    <t>RESULT_CLICK</t>
  </si>
  <si>
    <t>GAME_USUALLY</t>
  </si>
  <si>
    <t>GAME_EVENT</t>
  </si>
  <si>
    <t>GAME_BATTLE</t>
  </si>
  <si>
    <t>RESULT_CLEAR</t>
  </si>
  <si>
    <t>RESULT_GAMEOVER</t>
  </si>
  <si>
    <t>TITLE</t>
  </si>
  <si>
    <t>SELECT</t>
  </si>
  <si>
    <t>GAME</t>
  </si>
  <si>
    <t>BATTLE</t>
  </si>
  <si>
    <t>BOSS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</si>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</sst>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/>
      <bottom/>
      <diagonal/>
    </border>
  </borders>
  <cellStyleXfs count="5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1" applyNumberFormat="0" applyFont="0" applyAlignment="0" applyProtection="0">
      <alignment vertical="center"/>
    </xf>
  </cellStyleXfs>
  <cellXfs count="19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7" fillId="2" borderId="0" xfId="1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1" applyAlignment="1"/>
    <xf numFmtId="0" fontId="0" fillId="5" borderId="1" xfId="4" applyFont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9" fillId="4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/>
    <xf numFmtId="0" fontId="1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1" xfId="4" applyFont="1" applyAlignment="1">
      <alignment horizontal="center" vertical="center"/>
    </xf>
    <xf numFmtId="0" fontId="0" fillId="7" borderId="3" xfId="0" applyFill="1" applyBorder="1" applyAlignment="1">
      <alignment vertical="center"/>
    </xf>
  </cellXfs>
  <cellStyles count="5">
    <cellStyle name="60% - アクセント 2" xfId="2" builtinId="36"/>
    <cellStyle name="メモ" xfId="4" builtinId="10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pane ySplit="2" topLeftCell="A3" activePane="bottomLeft" state="frozen"/>
      <selection pane="bottomLeft" activeCell="C15" sqref="C15"/>
    </sheetView>
  </sheetViews>
  <sheetFormatPr defaultRowHeight="18.75"/>
  <cols>
    <col min="2" max="2" width="8.625" bestFit="1" customWidth="1"/>
    <col min="3" max="3" width="33" bestFit="1" customWidth="1"/>
    <col min="4" max="6" width="8.875" customWidth="1"/>
  </cols>
  <sheetData>
    <row r="1" spans="1:3">
      <c r="A1" s="16" t="s">
        <v>5</v>
      </c>
      <c r="B1" s="13" t="s">
        <v>4</v>
      </c>
      <c r="C1" s="15" t="s">
        <v>0</v>
      </c>
    </row>
    <row r="2" spans="1:3">
      <c r="A2" s="16"/>
      <c r="B2" s="14"/>
      <c r="C2" s="15"/>
    </row>
    <row r="3" spans="1:3">
      <c r="A3" s="5">
        <v>0</v>
      </c>
      <c r="B3" s="9" t="str">
        <f>IFERROR(LOOKUP(A3,bgm!$A$1:$A$6,bgm!$B$1:$B$6),"")</f>
        <v>TITLE</v>
      </c>
      <c r="C3" s="1" t="s">
        <v>2</v>
      </c>
    </row>
    <row r="4" spans="1:3">
      <c r="A4" s="2">
        <v>1</v>
      </c>
      <c r="B4" s="9" t="str">
        <f>IFERROR(LOOKUP(A4,bgm!$A$1:$A$6,bgm!$B$1:$B$6),"")</f>
        <v>SELECT</v>
      </c>
      <c r="C4" s="3" t="s">
        <v>2</v>
      </c>
    </row>
    <row r="5" spans="1:3">
      <c r="A5" s="4">
        <v>2</v>
      </c>
      <c r="B5" s="9" t="str">
        <f>IFERROR(LOOKUP(A5,bgm!$A$1:$A$6,bgm!$B$1:$B$6),"")</f>
        <v>GAME</v>
      </c>
      <c r="C5" s="3" t="s">
        <v>1</v>
      </c>
    </row>
    <row r="6" spans="1:3">
      <c r="A6" s="2">
        <v>3</v>
      </c>
      <c r="B6" s="9" t="str">
        <f>IFERROR(LOOKUP(A6,bgm!$A$1:$A$6,bgm!$B$1:$B$6),"")</f>
        <v>BATTLE</v>
      </c>
      <c r="C6" s="3" t="s">
        <v>1</v>
      </c>
    </row>
  </sheetData>
  <mergeCells count="3">
    <mergeCell ref="B1:B2"/>
    <mergeCell ref="C1:C2"/>
    <mergeCell ref="A1:A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dimension ref="A1:B6"/>
  <sheetViews>
    <sheetView workbookViewId="0">
      <selection activeCell="E12" sqref="E12"/>
    </sheetView>
  </sheetViews>
  <sheetFormatPr defaultRowHeight="18.75"/>
  <sheetData>
    <row r="1" spans="1:2">
      <c r="A1" s="10">
        <v>0</v>
      </c>
      <c r="B1" s="10" t="s">
        <v>26</v>
      </c>
    </row>
    <row r="2" spans="1:2">
      <c r="A2" s="10">
        <v>1</v>
      </c>
      <c r="B2" s="10" t="s">
        <v>27</v>
      </c>
    </row>
    <row r="3" spans="1:2">
      <c r="A3" s="10">
        <v>2</v>
      </c>
      <c r="B3" s="10" t="s">
        <v>28</v>
      </c>
    </row>
    <row r="4" spans="1:2">
      <c r="A4" s="10">
        <v>3</v>
      </c>
      <c r="B4" s="10" t="s">
        <v>29</v>
      </c>
    </row>
    <row r="5" spans="1:2">
      <c r="A5" s="10">
        <v>4</v>
      </c>
      <c r="B5" s="10" t="s">
        <v>30</v>
      </c>
    </row>
    <row r="6" spans="1:2">
      <c r="A6" s="10">
        <v>5</v>
      </c>
      <c r="B6" s="10" t="s">
        <v>31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A1D6-C6C9-4A9C-9BB2-33740CA8DA24}">
  <sheetPr codeName="Sheet2"/>
  <dimension ref="A1:C14"/>
  <sheetViews>
    <sheetView workbookViewId="0">
      <pane ySplit="2" topLeftCell="A3" activePane="bottomLeft" state="frozen"/>
      <selection pane="bottomLeft" activeCell="C19" sqref="B19:C19"/>
    </sheetView>
  </sheetViews>
  <sheetFormatPr defaultRowHeight="18.75"/>
  <cols>
    <col min="1" max="1" width="22.875" bestFit="1" customWidth="1"/>
    <col min="2" max="2" width="14.25" bestFit="1" customWidth="1"/>
    <col min="3" max="3" width="15.625" bestFit="1" customWidth="1"/>
  </cols>
  <sheetData>
    <row r="1" spans="1:3">
      <c r="A1" s="17" t="s">
        <v>7</v>
      </c>
      <c r="B1" s="18" t="s">
        <v>6</v>
      </c>
      <c r="C1" s="15" t="s">
        <v>0</v>
      </c>
    </row>
    <row r="2" spans="1:3">
      <c r="A2" s="17"/>
      <c r="B2" s="18"/>
      <c r="C2" s="15"/>
    </row>
    <row r="3" spans="1:3">
      <c r="A3" s="8">
        <v>0</v>
      </c>
      <c r="B3" s="12" t="str">
        <f>IFERROR(LOOKUP(A3,se!$A$1:$A$18,se!$B$1:$B$18),"")</f>
        <v>TITLE_CLICK</v>
      </c>
      <c r="C3" s="7" t="s">
        <v>3</v>
      </c>
    </row>
    <row r="4" spans="1:3">
      <c r="A4" s="8">
        <v>1</v>
      </c>
      <c r="B4" s="12" t="str">
        <f>IFERROR(LOOKUP(A4,se!$A$1:$A$18,se!$B$1:$B$18),"")</f>
        <v>TITLE_BOTTON_MOVE</v>
      </c>
      <c r="C4" s="7" t="s">
        <v>3</v>
      </c>
    </row>
    <row r="5" spans="1:3">
      <c r="A5" s="8">
        <v>2</v>
      </c>
      <c r="B5" s="12" t="str">
        <f>IFERROR(LOOKUP(A5,se!$A$1:$A$18,se!$B$1:$B$18),"")</f>
        <v>SELECT_CLICK</v>
      </c>
      <c r="C5" s="7" t="s">
        <v>3</v>
      </c>
    </row>
    <row r="6" spans="1:3">
      <c r="A6" s="8">
        <v>3</v>
      </c>
      <c r="B6" s="12" t="str">
        <f>IFERROR(LOOKUP(A6,se!$A$1:$A$18,se!$B$1:$B$18),"")</f>
        <v>SELECT_BOTTON_MOVE</v>
      </c>
      <c r="C6" s="7" t="s">
        <v>3</v>
      </c>
    </row>
    <row r="7" spans="1:3">
      <c r="A7" s="8">
        <v>4</v>
      </c>
      <c r="B7" s="12" t="str">
        <f>IFERROR(LOOKUP(A7,se!$A$1:$A$18,se!$B$1:$B$18),"")</f>
        <v>GAME_CLICK</v>
      </c>
      <c r="C7" s="7" t="s">
        <v>3</v>
      </c>
    </row>
    <row r="8" spans="1:3">
      <c r="A8" s="8">
        <v>5</v>
      </c>
      <c r="B8" s="12" t="str">
        <f>IFERROR(LOOKUP(A8,se!$A$1:$A$18,se!$B$1:$B$18),"")</f>
        <v>GAME_BOTTON_MOVE</v>
      </c>
      <c r="C8" s="7" t="s">
        <v>3</v>
      </c>
    </row>
    <row r="9" spans="1:3">
      <c r="A9" s="8">
        <v>6</v>
      </c>
      <c r="B9" s="12" t="str">
        <f>IFERROR(LOOKUP(A9,se!$A$1:$A$18,se!$B$1:$B$18),"")</f>
        <v>GAME_MOVE</v>
      </c>
      <c r="C9" s="7" t="s">
        <v>3</v>
      </c>
    </row>
    <row r="10" spans="1:3">
      <c r="A10" s="8">
        <v>7</v>
      </c>
      <c r="B10" s="12" t="str">
        <f>IFERROR(LOOKUP(A10,se!$A$1:$A$18,se!$B$1:$B$18),"")</f>
        <v>GAME_ATTACK</v>
      </c>
      <c r="C10" s="7" t="s">
        <v>3</v>
      </c>
    </row>
    <row r="11" spans="1:3">
      <c r="A11" s="8">
        <v>8</v>
      </c>
      <c r="B11" s="12" t="str">
        <f>IFERROR(LOOKUP(A11,se!$A$1:$A$18,se!$B$1:$B$18),"")</f>
        <v>GAME_SKILL</v>
      </c>
      <c r="C11" s="7" t="s">
        <v>3</v>
      </c>
    </row>
    <row r="12" spans="1:3">
      <c r="A12" s="8">
        <v>9</v>
      </c>
      <c r="B12" s="12" t="str">
        <f>IFERROR(LOOKUP(A12,se!$A$1:$A$18,se!$B$1:$B$18),"")</f>
        <v>GAME_DICE</v>
      </c>
      <c r="C12" s="7" t="s">
        <v>3</v>
      </c>
    </row>
    <row r="13" spans="1:3">
      <c r="A13" s="6"/>
    </row>
    <row r="14" spans="1:3">
      <c r="A14" s="6"/>
    </row>
  </sheetData>
  <mergeCells count="3">
    <mergeCell ref="A1:A2"/>
    <mergeCell ref="C1:C2"/>
    <mergeCell ref="B1:B2"/>
  </mergeCell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0BE4-810F-4C55-972E-703DDC451E72}">
  <dimension ref="A1:B18"/>
  <sheetViews>
    <sheetView workbookViewId="0">
      <selection activeCell="A18" sqref="A18"/>
    </sheetView>
  </sheetViews>
  <sheetFormatPr defaultRowHeight="18.75"/>
  <cols>
    <col min="2" max="2" width="25" bestFit="1" customWidth="1"/>
  </cols>
  <sheetData>
    <row r="1" spans="1:2">
      <c r="A1" s="11">
        <v>0</v>
      </c>
      <c r="B1" s="10" t="s">
        <v>8</v>
      </c>
    </row>
    <row r="2" spans="1:2">
      <c r="A2" s="11">
        <v>1</v>
      </c>
      <c r="B2" s="10" t="s">
        <v>9</v>
      </c>
    </row>
    <row r="3" spans="1:2">
      <c r="A3" s="11">
        <v>2</v>
      </c>
      <c r="B3" s="10" t="s">
        <v>10</v>
      </c>
    </row>
    <row r="4" spans="1:2">
      <c r="A4" s="11">
        <v>3</v>
      </c>
      <c r="B4" s="10" t="s">
        <v>11</v>
      </c>
    </row>
    <row r="5" spans="1:2">
      <c r="A5" s="11">
        <v>4</v>
      </c>
      <c r="B5" s="10" t="s">
        <v>12</v>
      </c>
    </row>
    <row r="6" spans="1:2">
      <c r="A6" s="11">
        <v>5</v>
      </c>
      <c r="B6" s="10" t="s">
        <v>13</v>
      </c>
    </row>
    <row r="7" spans="1:2">
      <c r="A7" s="11">
        <v>6</v>
      </c>
      <c r="B7" s="10" t="s">
        <v>14</v>
      </c>
    </row>
    <row r="8" spans="1:2">
      <c r="A8" s="11">
        <v>7</v>
      </c>
      <c r="B8" s="10" t="s">
        <v>15</v>
      </c>
    </row>
    <row r="9" spans="1:2">
      <c r="A9" s="11">
        <v>8</v>
      </c>
      <c r="B9" s="10" t="s">
        <v>16</v>
      </c>
    </row>
    <row r="10" spans="1:2">
      <c r="A10" s="11">
        <v>9</v>
      </c>
      <c r="B10" s="10" t="s">
        <v>17</v>
      </c>
    </row>
    <row r="11" spans="1:2">
      <c r="A11" s="11">
        <v>10</v>
      </c>
      <c r="B11" s="10" t="s">
        <v>18</v>
      </c>
    </row>
    <row r="12" spans="1:2">
      <c r="A12" s="11">
        <v>11</v>
      </c>
      <c r="B12" s="10" t="s">
        <v>19</v>
      </c>
    </row>
    <row r="13" spans="1:2">
      <c r="A13" s="11">
        <v>12</v>
      </c>
      <c r="B13" s="10" t="s">
        <v>20</v>
      </c>
    </row>
    <row r="14" spans="1:2">
      <c r="A14" s="11">
        <v>13</v>
      </c>
      <c r="B14" s="10" t="s">
        <v>21</v>
      </c>
    </row>
    <row r="15" spans="1:2">
      <c r="A15" s="11">
        <v>14</v>
      </c>
      <c r="B15" s="10" t="s">
        <v>22</v>
      </c>
    </row>
    <row r="16" spans="1:2">
      <c r="A16" s="11">
        <v>15</v>
      </c>
      <c r="B16" s="10" t="s">
        <v>23</v>
      </c>
    </row>
    <row r="17" spans="1:2">
      <c r="A17" s="11">
        <v>16</v>
      </c>
      <c r="B17" s="10" t="s">
        <v>24</v>
      </c>
    </row>
    <row r="18" spans="1:2">
      <c r="A18" s="11">
        <v>17</v>
      </c>
      <c r="B18" s="10" t="s">
        <v>25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sound_bgm_list</vt:lpstr>
      <vt:lpstr>bgm</vt:lpstr>
      <vt:lpstr>sound_se_list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2023-04-28T03:01:46Z</dcterms:modified>
</cp:coreProperties>
</file>